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mestre 1 " sheetId="1" r:id="rId5"/>
    <sheet state="visible" name="Trimestre 2" sheetId="2" r:id="rId6"/>
  </sheets>
  <definedNames/>
  <calcPr/>
</workbook>
</file>

<file path=xl/sharedStrings.xml><?xml version="1.0" encoding="utf-8"?>
<sst xmlns="http://schemas.openxmlformats.org/spreadsheetml/2006/main" count="199" uniqueCount="114">
  <si>
    <t>Nombre de la tarea</t>
  </si>
  <si>
    <t>Fecha Inicio</t>
  </si>
  <si>
    <t>Fecha Finalización</t>
  </si>
  <si>
    <t>Asignado</t>
  </si>
  <si>
    <t>Estado</t>
  </si>
  <si>
    <t>12/08/2025</t>
  </si>
  <si>
    <t>20/08/2025</t>
  </si>
  <si>
    <t>25/08/2025</t>
  </si>
  <si>
    <t>28/08/2025</t>
  </si>
  <si>
    <t>29/08/2025</t>
  </si>
  <si>
    <t>1/09/2025</t>
  </si>
  <si>
    <t>08/09/2025</t>
  </si>
  <si>
    <t>11/09/2025</t>
  </si>
  <si>
    <t>19/09/2025</t>
  </si>
  <si>
    <t>Column 16</t>
  </si>
  <si>
    <t xml:space="preserve">Observaciones </t>
  </si>
  <si>
    <t xml:space="preserve">Planteamiento de problema </t>
  </si>
  <si>
    <t>Reunión de área</t>
  </si>
  <si>
    <t>Terminado</t>
  </si>
  <si>
    <t>Se identifican claramente las consecuencias de los procesos manuales.</t>
  </si>
  <si>
    <t xml:space="preserve">Objetivo general y especifico </t>
  </si>
  <si>
    <t>Lia Arcila y Daniela  Ruiz</t>
  </si>
  <si>
    <t>El objetivo está enfocado en la optimización operativa mediante plataforma web.</t>
  </si>
  <si>
    <t>Antecedentes</t>
  </si>
  <si>
    <t>Se mencionan diversas plataformas las cuales brindan  servicios similares .</t>
  </si>
  <si>
    <t>Justificación</t>
  </si>
  <si>
    <t>Se mencionan beneficios operativos y estratégicos.</t>
  </si>
  <si>
    <t xml:space="preserve">Diagrama de Gantt,plataforma web </t>
  </si>
  <si>
    <t>Alejandro Jula y Samue Moreno</t>
  </si>
  <si>
    <t>Sistema digital accesible desde navegadores, diseñado para ofrecer funcionalidades específicas a los usuarios.</t>
  </si>
  <si>
    <t>IEEE830</t>
  </si>
  <si>
    <t>Ayudar a especificar claramente qué debe hacer el software,</t>
  </si>
  <si>
    <t>Encuesta y recolección de información</t>
  </si>
  <si>
    <t>Se realiza una encuesta al cliente sobre sus necesidades, peticiones .</t>
  </si>
  <si>
    <t xml:space="preserve">Mapa  de procesos </t>
  </si>
  <si>
    <t>Diagrama que muestra cómo se ejecutan las actividades dentro de una organización o sistema, destacando entradas, salidas y responsables.</t>
  </si>
  <si>
    <t>Explicación de flujo</t>
  </si>
  <si>
    <t>Samuel Moreno y Alejandro Jula</t>
  </si>
  <si>
    <t>Descripción detallada del recorrido que sigue la información o las acciones dentro de un sistema o proceso.</t>
  </si>
  <si>
    <t xml:space="preserve">Casos de uso </t>
  </si>
  <si>
    <t>Escenarios que describen cómo los usuarios interactúan con el sistema para lograr objetivos específicos.</t>
  </si>
  <si>
    <t>Mock up(32 vistas)</t>
  </si>
  <si>
    <t>Prototipo visual de una interfaz, que permite representar el diseño y funcionalidad antes del desarrollo real.</t>
  </si>
  <si>
    <t>Vistas Daniela Ruiz 8(Registro,usuario y cliente)</t>
  </si>
  <si>
    <t>Daniela Ruiz</t>
  </si>
  <si>
    <t>Me enfoque  en el registro y gestión de usuarios y clientes, estableciendo una base sólida para la interacción con el sistema</t>
  </si>
  <si>
    <t>Vistas Lia Arcila 8(Conductor)</t>
  </si>
  <si>
    <t>Aborde la interfaz del conductor, facilitando la operación diaria la coordinación y el FUEC, asegurando el cumplimiento normativo.</t>
  </si>
  <si>
    <t>Vistas Samuel Moreno 8(Coordinador y programación de servicios)</t>
  </si>
  <si>
    <t>Me encarge de la coordinación y programación de servicios, clave para la eficiencia operativa</t>
  </si>
  <si>
    <t>Vistas Alejandro jula 8(Coordinador y fuec)</t>
  </si>
  <si>
    <t>Mapa de navegación</t>
  </si>
  <si>
    <t>Estructura jerárquica que muestra cómo se organizan y conectan las páginas o secciones dentro de una plataforma digital.</t>
  </si>
  <si>
    <t>18/10/2025</t>
  </si>
  <si>
    <t>19/10/2025</t>
  </si>
  <si>
    <t>21/10/2025</t>
  </si>
  <si>
    <t>24/11/2025</t>
  </si>
  <si>
    <t>02/12/2025</t>
  </si>
  <si>
    <t>03/12/2025</t>
  </si>
  <si>
    <t>04/12/2025</t>
  </si>
  <si>
    <t>05/12/2025</t>
  </si>
  <si>
    <t>Cuadro de cotización(Torre admin)</t>
  </si>
  <si>
    <t>Lia Arcila</t>
  </si>
  <si>
    <t>Una torre sólida para tareas administrativas ofrece buena estabilidad y expansión, ideal para entornos de oficina con múltiples puertos y diseño ergonómico.</t>
  </si>
  <si>
    <t>Cuadro de cotización(Monitor Admin)</t>
  </si>
  <si>
    <t>Un monitor confiable mejora la productividad en trabajos diarios, con opciones de paneles claros y ajustes de brillo para reducir la fatiga visual.</t>
  </si>
  <si>
    <t>Cuadro de cotización(Disco Solido Admin)</t>
  </si>
  <si>
    <t>Samuel Moreno</t>
  </si>
  <si>
    <t>Un disco sólido rápido acelera el acceso a archivos y aplicaciones, siendo una elección duradera para almacenamiento interno en PCs administrativas.</t>
  </si>
  <si>
    <t xml:space="preserve">Cuadro de cotización(Disco Duro Interno Admin) </t>
  </si>
  <si>
    <t xml:space="preserve">Alejandro Jula </t>
  </si>
  <si>
    <t>Un disco duro interno proporciona capacidad amplia para datos masivos, aunque es más lento que alternativas modernas en velocidad de lectura.</t>
  </si>
  <si>
    <t>Cuadro de cotización(Servidor Admin)</t>
  </si>
  <si>
    <t xml:space="preserve"> Un servidor robusto soporta operaciones administrativas centralizadas, con énfasis en redundancia y facilidad de mantenimiento para equipos pequeños.</t>
  </si>
  <si>
    <t>Cuadro de cotización(Teclado Admin)</t>
  </si>
  <si>
    <t>Un teclado ergonómico facilita la escritura prolongada, con teclas silenciosas y diseño resistente para uso diario en oficinas.</t>
  </si>
  <si>
    <t>Cuadro de cotización(Ram Admin)</t>
  </si>
  <si>
    <t>La RAM adicional mejora el rendimiento multitarea en PCs administrativas, permitiendo ejecutar varias aplicaciones sin interrupciones.</t>
  </si>
  <si>
    <t>Cuadro de cotización(Mause Admin)</t>
  </si>
  <si>
    <t>Un ratón preciso y cómodo es esencial para navegación eficiente, con opciones inalámbricas para mayor libertad en espacios de trabajo.</t>
  </si>
  <si>
    <t>Cuadro de cotización(Portatil Nosotros)</t>
  </si>
  <si>
    <t>Una portátil versátil combina portabilidad y potencia, adecuada para equipos colaborativos que requieren movilidad y conectividad.</t>
  </si>
  <si>
    <t>Cuadro de cotización(Monitor Nosotros)</t>
  </si>
  <si>
    <t>Un monitor de calidad eleva la experiencia visual en equipos internos, con características como ángulos de visión amplios para presentaciones.</t>
  </si>
  <si>
    <t>Cuadro de cotización(Disco Mecanico Nostros))</t>
  </si>
  <si>
    <t xml:space="preserve"> Un disco mecánico externo ofrece almacenamiento accesible para backups, aunque es susceptible a daños físicos en comparación con opciones más modernas.</t>
  </si>
  <si>
    <t>Cuadro de cotización(Servidor Nosotros)</t>
  </si>
  <si>
    <t>Un servidor para equipos internos facilita la gestión de datos compartidos, con capacidades de virtualización para mayor flexibilidad operativa</t>
  </si>
  <si>
    <t>Cuadro de cotización(Ram Nosotros)</t>
  </si>
  <si>
    <t xml:space="preserve"> La RAM en equipos internos optimiza el procesamiento de tareas complejas, asegurando un funcionamiento fluido en aplicaciones demandantes.</t>
  </si>
  <si>
    <t xml:space="preserve">Cuadro de cotización(Tarjeta de Video Nosotros) </t>
  </si>
  <si>
    <t>Una tarjeta de video dedicada mejora el rendimiento gráfico en equipos internos, ideal para visualización y edición ligera.</t>
  </si>
  <si>
    <t>Cuadro de cotización(Procesador Nosotros)</t>
  </si>
  <si>
    <t>Un procesador eficiente impulsa el rendimiento general en equipos internos, con opciones de bajo consumo para uso continuo.</t>
  </si>
  <si>
    <t>Cuadro de cotización(Teclado Nosotros)</t>
  </si>
  <si>
    <t>Un teclado funcional para equipos internos prioriza comodidad y durabilidad, con diseños que soportan entornos colaborativos.</t>
  </si>
  <si>
    <t>Cuadro de cotización(Mause Nosotros)</t>
  </si>
  <si>
    <t>Un ratón adaptable en equipos internos ofrece precisión y ergonomía, con variedades que se ajustan a preferencias individuales.</t>
  </si>
  <si>
    <t>Cuadro de cotización(Software Liciencia)</t>
  </si>
  <si>
    <t>Una licencia de software general proporciona herramientas versátiles para productividad, con interfaces intuitivas para usuarios diversos.</t>
  </si>
  <si>
    <t>Cuadro de cotización(Licencia Visual)</t>
  </si>
  <si>
    <t xml:space="preserve"> Una licencia para desarrollo visual apoya la creación de aplicaciones, con entornos integrados que simplifican el proceso de codificación.</t>
  </si>
  <si>
    <t>Cuadro de cotización(Windows 11 Licencia)</t>
  </si>
  <si>
    <t xml:space="preserve"> Una licencia de Windows once asegura compatibilidad moderna, con actualizaciones regulares para seguridad y nuevas funciones.</t>
  </si>
  <si>
    <t>Cuadro de cotización(Licencia SQL)</t>
  </si>
  <si>
    <t>Una licencia para bases de datos SQL permite gestión eficiente de información, con consultas avanzadas para análisis de datos.</t>
  </si>
  <si>
    <t>Base De Datos</t>
  </si>
  <si>
    <t>Diccionario de datos</t>
  </si>
  <si>
    <t>Ficha Tecnica</t>
  </si>
  <si>
    <t>Alejandro Jula  y samuel moreno</t>
  </si>
  <si>
    <t xml:space="preserve">Diagrama relacional </t>
  </si>
  <si>
    <t xml:space="preserve">Diagrama de clases </t>
  </si>
  <si>
    <t>Diagrama de despliegue</t>
  </si>
  <si>
    <t xml:space="preserve">Diagrama MER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</si>
</sst>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"/>
    <numFmt numFmtId="166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A0E1A0"/>
        <bgColor rgb="FFA0E1A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bottom" wrapText="0"/>
    </xf>
    <xf borderId="0" fillId="0" fontId="1" numFmtId="164" xfId="0" applyAlignment="1" applyFont="1" applyNumberFormat="1">
      <alignment horizontal="left" readingOrder="0" shrinkToFit="0" vertical="top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" fillId="3" fontId="1" numFmtId="0" xfId="0" applyAlignment="1" applyBorder="1" applyFill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3" fontId="1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4" fontId="1" numFmtId="0" xfId="0" applyAlignment="1" applyBorder="1" applyFill="1" applyFont="1">
      <alignment shrinkToFit="0" vertical="center" wrapText="0"/>
    </xf>
    <xf borderId="1" fillId="3" fontId="1" numFmtId="0" xfId="0" applyAlignment="1" applyBorder="1" applyFont="1">
      <alignment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0" fontId="1" numFmtId="0" xfId="0" applyBorder="1" applyFont="1"/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1" numFmtId="166" xfId="0" applyAlignment="1" applyBorder="1" applyFont="1" applyNumberForma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2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1" fillId="0" fontId="1" numFmtId="166" xfId="0" applyAlignment="1" applyBorder="1" applyFont="1" applyNumberForma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762832"/>
          <bgColor rgb="FF76283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762832"/>
        </left>
        <right style="thin">
          <color rgb="FF762832"/>
        </right>
        <top style="thin">
          <color rgb="FF762832"/>
        </top>
        <bottom style="thin">
          <color rgb="FF762832"/>
        </bottom>
      </border>
    </dxf>
  </dxfs>
  <tableStyles count="3">
    <tableStyle count="4" pivot="0" name="Trimestre 1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rimestre 1 -style 2">
      <tableStyleElement dxfId="2" type="firstRowStripe"/>
      <tableStyleElement dxfId="3" type="secondRowStripe"/>
    </tableStyle>
    <tableStyle count="4" pivot="0" name="Trimestre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7" displayName="Trimestre_1" name="Trimestre_1" id="1">
  <tableColumns count="16">
    <tableColumn name="Nombre de la tarea" id="1"/>
    <tableColumn name="Fecha Inicio" id="2"/>
    <tableColumn name="Fecha Finalización" id="3"/>
    <tableColumn name="Asignado" id="4"/>
    <tableColumn name="Estado" id="5"/>
    <tableColumn name="12/08/2025" id="6"/>
    <tableColumn name="20/08/2025" id="7"/>
    <tableColumn name="25/08/2025" id="8"/>
    <tableColumn name="28/08/2025" id="9"/>
    <tableColumn name="29/08/2025" id="10"/>
    <tableColumn name="1/09/2025" id="11"/>
    <tableColumn name="08/09/2025" id="12"/>
    <tableColumn name="11/09/2025" id="13"/>
    <tableColumn name="19/09/2025" id="14"/>
    <tableColumn name="Column 16" id="15"/>
    <tableColumn name="Observaciones " id="16"/>
  </tableColumns>
  <tableStyleInfo name="Trimestre 1 -style" showColumnStripes="0" showFirstColumn="1" showLastColumn="1" showRowStripes="1"/>
</table>
</file>

<file path=xl/tables/table2.xml><?xml version="1.0" encoding="utf-8"?>
<table xmlns="http://schemas.openxmlformats.org/spreadsheetml/2006/main" headerRowCount="0" ref="D23:D38" displayName="Table_1" name="Table_1" id="2">
  <tableColumns count="1">
    <tableColumn name="Column1" id="1"/>
  </tableColumns>
  <tableStyleInfo name="Trimestre 1 -style 2" showColumnStripes="0" showFirstColumn="1" showLastColumn="1" showRowStripes="1"/>
</table>
</file>

<file path=xl/tables/table3.xml><?xml version="1.0" encoding="utf-8"?>
<table xmlns="http://schemas.openxmlformats.org/spreadsheetml/2006/main" ref="A1:N29" displayName="Trimestre__2" name="Trimestre__2" id="3">
  <tableColumns count="14">
    <tableColumn name="Nombre de la tarea" id="1"/>
    <tableColumn name="Fecha Inicio" id="2"/>
    <tableColumn name="Fecha Finalización" id="3"/>
    <tableColumn name="Asignado" id="4"/>
    <tableColumn name="Estado" id="5"/>
    <tableColumn name="18/10/2025" id="6"/>
    <tableColumn name="19/10/2025" id="7"/>
    <tableColumn name="21/10/2025" id="8"/>
    <tableColumn name="24/11/2025" id="9"/>
    <tableColumn name="02/12/2025" id="10"/>
    <tableColumn name="03/12/2025" id="11"/>
    <tableColumn name="04/12/2025" id="12"/>
    <tableColumn name="05/12/2025" id="13"/>
    <tableColumn name="Observaciones " id="14"/>
  </tableColumns>
  <tableStyleInfo name="Trimestre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2" width="14.38"/>
    <col customWidth="1" min="3" max="3" width="19.25"/>
    <col customWidth="1" min="4" max="4" width="27.13"/>
    <col customWidth="1" min="6" max="6" width="13.5"/>
    <col customWidth="1" min="7" max="7" width="13.25"/>
    <col customWidth="1" min="8" max="8" width="13.38"/>
    <col customWidth="1" min="9" max="9" width="13.5"/>
    <col customWidth="1" min="10" max="10" width="13.25"/>
    <col customWidth="1" min="12" max="12" width="13.75"/>
    <col customWidth="1" min="13" max="13" width="13.63"/>
    <col customWidth="1" min="14" max="14" width="14.13"/>
    <col customWidth="1" min="16" max="16" width="10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5" t="s">
        <v>13</v>
      </c>
      <c r="O1" s="5" t="s">
        <v>14</v>
      </c>
      <c r="P1" s="6" t="s">
        <v>15</v>
      </c>
    </row>
    <row r="2" ht="22.5" customHeight="1">
      <c r="A2" s="7" t="s">
        <v>16</v>
      </c>
      <c r="B2" s="8">
        <v>45880.0</v>
      </c>
      <c r="C2" s="8">
        <v>45881.0</v>
      </c>
      <c r="D2" s="7" t="s">
        <v>17</v>
      </c>
      <c r="E2" s="9" t="s">
        <v>18</v>
      </c>
      <c r="F2" s="10"/>
      <c r="G2" s="11"/>
      <c r="H2" s="11"/>
      <c r="I2" s="11"/>
      <c r="J2" s="11"/>
      <c r="K2" s="11"/>
      <c r="L2" s="11"/>
      <c r="M2" s="11"/>
      <c r="N2" s="11"/>
      <c r="O2" s="11"/>
      <c r="P2" s="12" t="s">
        <v>19</v>
      </c>
    </row>
    <row r="3" ht="22.5" customHeight="1">
      <c r="A3" s="7" t="s">
        <v>20</v>
      </c>
      <c r="B3" s="8">
        <v>45881.0</v>
      </c>
      <c r="C3" s="8">
        <v>45881.0</v>
      </c>
      <c r="D3" s="7" t="s">
        <v>21</v>
      </c>
      <c r="E3" s="9" t="s">
        <v>18</v>
      </c>
      <c r="F3" s="10"/>
      <c r="G3" s="11"/>
      <c r="H3" s="11"/>
      <c r="I3" s="11"/>
      <c r="J3" s="11"/>
      <c r="K3" s="11"/>
      <c r="L3" s="11"/>
      <c r="M3" s="11"/>
      <c r="N3" s="11"/>
      <c r="O3" s="11"/>
      <c r="P3" s="12" t="s">
        <v>22</v>
      </c>
    </row>
    <row r="4" ht="22.5" customHeight="1">
      <c r="A4" s="7" t="s">
        <v>23</v>
      </c>
      <c r="B4" s="8">
        <v>45881.0</v>
      </c>
      <c r="C4" s="8">
        <v>45881.0</v>
      </c>
      <c r="D4" s="7" t="s">
        <v>21</v>
      </c>
      <c r="E4" s="9" t="s">
        <v>18</v>
      </c>
      <c r="F4" s="10"/>
      <c r="G4" s="11"/>
      <c r="H4" s="11"/>
      <c r="I4" s="11"/>
      <c r="J4" s="11"/>
      <c r="K4" s="11"/>
      <c r="L4" s="11"/>
      <c r="M4" s="11"/>
      <c r="N4" s="11"/>
      <c r="O4" s="11"/>
      <c r="P4" s="12" t="s">
        <v>24</v>
      </c>
    </row>
    <row r="5" ht="22.5" customHeight="1">
      <c r="A5" s="7" t="s">
        <v>25</v>
      </c>
      <c r="B5" s="8">
        <v>45881.0</v>
      </c>
      <c r="C5" s="8">
        <v>45881.0</v>
      </c>
      <c r="D5" s="7" t="s">
        <v>21</v>
      </c>
      <c r="E5" s="9" t="s">
        <v>18</v>
      </c>
      <c r="F5" s="10"/>
      <c r="G5" s="11"/>
      <c r="H5" s="11"/>
      <c r="I5" s="11"/>
      <c r="J5" s="11"/>
      <c r="K5" s="11"/>
      <c r="L5" s="11"/>
      <c r="M5" s="11"/>
      <c r="N5" s="11"/>
      <c r="O5" s="11"/>
      <c r="P5" s="12" t="s">
        <v>26</v>
      </c>
    </row>
    <row r="6" ht="22.5" customHeight="1">
      <c r="A6" s="7" t="s">
        <v>27</v>
      </c>
      <c r="B6" s="8">
        <v>45888.0</v>
      </c>
      <c r="C6" s="8">
        <v>45889.0</v>
      </c>
      <c r="D6" s="7" t="s">
        <v>28</v>
      </c>
      <c r="E6" s="9" t="s">
        <v>18</v>
      </c>
      <c r="F6" s="11"/>
      <c r="G6" s="13"/>
      <c r="H6" s="11"/>
      <c r="I6" s="11"/>
      <c r="J6" s="11"/>
      <c r="K6" s="11"/>
      <c r="L6" s="11"/>
      <c r="M6" s="11"/>
      <c r="N6" s="11"/>
      <c r="O6" s="11"/>
      <c r="P6" s="14" t="s">
        <v>29</v>
      </c>
    </row>
    <row r="7" ht="22.5" customHeight="1">
      <c r="A7" s="7" t="s">
        <v>30</v>
      </c>
      <c r="B7" s="8">
        <v>45889.0</v>
      </c>
      <c r="C7" s="8">
        <v>45908.0</v>
      </c>
      <c r="D7" s="7" t="s">
        <v>17</v>
      </c>
      <c r="E7" s="9" t="s">
        <v>18</v>
      </c>
      <c r="F7" s="11"/>
      <c r="G7" s="11"/>
      <c r="H7" s="11"/>
      <c r="I7" s="11"/>
      <c r="J7" s="11"/>
      <c r="K7" s="11"/>
      <c r="L7" s="13"/>
      <c r="M7" s="11"/>
      <c r="N7" s="11"/>
      <c r="O7" s="11"/>
      <c r="P7" s="12" t="s">
        <v>31</v>
      </c>
    </row>
    <row r="8" ht="22.5" customHeight="1">
      <c r="A8" s="12" t="s">
        <v>32</v>
      </c>
      <c r="B8" s="15">
        <v>45890.0</v>
      </c>
      <c r="C8" s="15">
        <v>45894.0</v>
      </c>
      <c r="D8" s="12" t="s">
        <v>21</v>
      </c>
      <c r="E8" s="9" t="s">
        <v>18</v>
      </c>
      <c r="F8" s="16"/>
      <c r="G8" s="16"/>
      <c r="H8" s="13"/>
      <c r="I8" s="11"/>
      <c r="J8" s="17"/>
      <c r="K8" s="11"/>
      <c r="L8" s="11"/>
      <c r="M8" s="11"/>
      <c r="N8" s="11"/>
      <c r="O8" s="11"/>
      <c r="P8" s="12" t="s">
        <v>33</v>
      </c>
    </row>
    <row r="9" ht="22.5" customHeight="1">
      <c r="A9" s="12" t="s">
        <v>34</v>
      </c>
      <c r="B9" s="15">
        <v>45895.0</v>
      </c>
      <c r="C9" s="15">
        <v>45898.0</v>
      </c>
      <c r="D9" s="12" t="s">
        <v>21</v>
      </c>
      <c r="E9" s="9" t="s">
        <v>18</v>
      </c>
      <c r="F9" s="16"/>
      <c r="G9" s="16"/>
      <c r="H9" s="18"/>
      <c r="I9" s="16"/>
      <c r="J9" s="13"/>
      <c r="K9" s="11"/>
      <c r="L9" s="11"/>
      <c r="M9" s="11"/>
      <c r="N9" s="11"/>
      <c r="O9" s="11"/>
      <c r="P9" s="7" t="s">
        <v>35</v>
      </c>
    </row>
    <row r="10" ht="22.5" customHeight="1">
      <c r="A10" s="12" t="s">
        <v>36</v>
      </c>
      <c r="B10" s="15">
        <v>45896.0</v>
      </c>
      <c r="C10" s="15">
        <v>45897.0</v>
      </c>
      <c r="D10" s="12" t="s">
        <v>37</v>
      </c>
      <c r="E10" s="9" t="s">
        <v>18</v>
      </c>
      <c r="F10" s="16"/>
      <c r="G10" s="16"/>
      <c r="H10" s="18"/>
      <c r="I10" s="13"/>
      <c r="J10" s="19"/>
      <c r="K10" s="11"/>
      <c r="L10" s="11"/>
      <c r="M10" s="11"/>
      <c r="N10" s="11"/>
      <c r="O10" s="11"/>
      <c r="P10" s="7" t="s">
        <v>38</v>
      </c>
    </row>
    <row r="11" ht="22.5" customHeight="1">
      <c r="A11" s="12" t="s">
        <v>39</v>
      </c>
      <c r="B11" s="15">
        <v>45898.0</v>
      </c>
      <c r="C11" s="15">
        <v>45901.0</v>
      </c>
      <c r="D11" s="12" t="s">
        <v>37</v>
      </c>
      <c r="E11" s="9" t="s">
        <v>18</v>
      </c>
      <c r="F11" s="16"/>
      <c r="G11" s="16"/>
      <c r="H11" s="18"/>
      <c r="I11" s="16"/>
      <c r="J11" s="19"/>
      <c r="K11" s="13"/>
      <c r="L11" s="11"/>
      <c r="M11" s="11"/>
      <c r="N11" s="11"/>
      <c r="O11" s="11"/>
      <c r="P11" s="7" t="s">
        <v>40</v>
      </c>
    </row>
    <row r="12" ht="22.5" customHeight="1">
      <c r="A12" s="12" t="s">
        <v>41</v>
      </c>
      <c r="B12" s="15">
        <v>45909.0</v>
      </c>
      <c r="C12" s="15">
        <v>45919.0</v>
      </c>
      <c r="D12" s="12" t="s">
        <v>17</v>
      </c>
      <c r="E12" s="9" t="s">
        <v>18</v>
      </c>
      <c r="F12" s="16"/>
      <c r="G12" s="16"/>
      <c r="H12" s="18"/>
      <c r="I12" s="16"/>
      <c r="J12" s="19"/>
      <c r="K12" s="18"/>
      <c r="L12" s="11"/>
      <c r="M12" s="11"/>
      <c r="N12" s="13"/>
      <c r="O12" s="11"/>
      <c r="P12" s="7" t="s">
        <v>42</v>
      </c>
    </row>
    <row r="13" ht="22.5" customHeight="1">
      <c r="A13" s="7" t="s">
        <v>43</v>
      </c>
      <c r="B13" s="8">
        <v>45910.0</v>
      </c>
      <c r="C13" s="8">
        <v>45919.0</v>
      </c>
      <c r="D13" s="7" t="s">
        <v>44</v>
      </c>
      <c r="E13" s="9" t="s">
        <v>18</v>
      </c>
      <c r="F13" s="11"/>
      <c r="G13" s="11"/>
      <c r="H13" s="11"/>
      <c r="I13" s="11"/>
      <c r="J13" s="11"/>
      <c r="K13" s="11"/>
      <c r="L13" s="11"/>
      <c r="M13" s="11"/>
      <c r="N13" s="13"/>
      <c r="O13" s="11"/>
      <c r="P13" s="7" t="s">
        <v>45</v>
      </c>
    </row>
    <row r="14" ht="21.0" customHeight="1">
      <c r="A14" s="7" t="s">
        <v>46</v>
      </c>
      <c r="B14" s="8">
        <v>45910.0</v>
      </c>
      <c r="C14" s="8">
        <v>45919.0</v>
      </c>
      <c r="D14" s="7" t="s">
        <v>21</v>
      </c>
      <c r="E14" s="9" t="s">
        <v>18</v>
      </c>
      <c r="F14" s="11"/>
      <c r="G14" s="11"/>
      <c r="H14" s="11"/>
      <c r="I14" s="11"/>
      <c r="J14" s="11"/>
      <c r="K14" s="11"/>
      <c r="L14" s="11"/>
      <c r="M14" s="11"/>
      <c r="N14" s="13"/>
      <c r="O14" s="11"/>
      <c r="P14" s="7" t="s">
        <v>47</v>
      </c>
    </row>
    <row r="15" ht="22.5" customHeight="1">
      <c r="A15" s="7" t="s">
        <v>48</v>
      </c>
      <c r="B15" s="8">
        <v>45910.0</v>
      </c>
      <c r="C15" s="8">
        <v>45919.0</v>
      </c>
      <c r="D15" s="7" t="s">
        <v>37</v>
      </c>
      <c r="E15" s="9" t="s">
        <v>18</v>
      </c>
      <c r="F15" s="11"/>
      <c r="G15" s="11"/>
      <c r="H15" s="11"/>
      <c r="I15" s="11"/>
      <c r="J15" s="11"/>
      <c r="K15" s="11"/>
      <c r="L15" s="11"/>
      <c r="M15" s="11"/>
      <c r="N15" s="13"/>
      <c r="O15" s="11"/>
      <c r="P15" s="14" t="s">
        <v>49</v>
      </c>
    </row>
    <row r="16" ht="22.5" customHeight="1">
      <c r="A16" s="7" t="s">
        <v>50</v>
      </c>
      <c r="B16" s="8">
        <v>45910.0</v>
      </c>
      <c r="C16" s="8">
        <v>45919.0</v>
      </c>
      <c r="D16" s="7" t="s">
        <v>28</v>
      </c>
      <c r="E16" s="9" t="s">
        <v>18</v>
      </c>
      <c r="F16" s="11"/>
      <c r="G16" s="11"/>
      <c r="H16" s="11"/>
      <c r="I16" s="11"/>
      <c r="J16" s="11"/>
      <c r="K16" s="11"/>
      <c r="L16" s="11"/>
      <c r="M16" s="11"/>
      <c r="N16" s="13"/>
      <c r="O16" s="11"/>
      <c r="P16" s="7" t="s">
        <v>47</v>
      </c>
    </row>
    <row r="17" ht="22.5" customHeight="1">
      <c r="A17" s="12" t="s">
        <v>51</v>
      </c>
      <c r="B17" s="15">
        <v>45909.0</v>
      </c>
      <c r="C17" s="15">
        <v>45911.0</v>
      </c>
      <c r="D17" s="12" t="s">
        <v>21</v>
      </c>
      <c r="E17" s="9" t="s">
        <v>18</v>
      </c>
      <c r="F17" s="16"/>
      <c r="G17" s="16"/>
      <c r="H17" s="18"/>
      <c r="I17" s="16"/>
      <c r="J17" s="19"/>
      <c r="K17" s="18"/>
      <c r="L17" s="11"/>
      <c r="M17" s="13"/>
      <c r="N17" s="11"/>
      <c r="O17" s="11"/>
      <c r="P17" s="7" t="s">
        <v>52</v>
      </c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2"/>
    </row>
    <row r="30">
      <c r="D30" s="22"/>
    </row>
    <row r="31">
      <c r="D31" s="22"/>
    </row>
    <row r="32">
      <c r="D32" s="22"/>
    </row>
    <row r="33">
      <c r="D33" s="22"/>
    </row>
    <row r="35">
      <c r="D35" s="21"/>
    </row>
    <row r="36">
      <c r="D36" s="21"/>
    </row>
    <row r="37">
      <c r="D37" s="21"/>
    </row>
    <row r="38">
      <c r="D38" s="22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13.88"/>
    <col customWidth="1" min="3" max="3" width="18.25"/>
    <col customWidth="1" min="4" max="4" width="25.25"/>
    <col customWidth="1" min="6" max="6" width="14.38"/>
    <col customWidth="1" min="7" max="7" width="13.88"/>
    <col customWidth="1" min="8" max="8" width="14.13"/>
    <col customWidth="1" min="9" max="9" width="13.75"/>
    <col customWidth="1" min="10" max="10" width="14.38"/>
    <col customWidth="1" min="11" max="11" width="14.25"/>
    <col customWidth="1" min="12" max="12" width="13.88"/>
    <col customWidth="1" min="13" max="13" width="13.63"/>
    <col customWidth="1" min="14" max="14" width="127.25"/>
    <col customWidth="1" min="19" max="19" width="0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6" t="s">
        <v>15</v>
      </c>
    </row>
    <row r="2" ht="22.5" customHeight="1">
      <c r="A2" s="12" t="s">
        <v>61</v>
      </c>
      <c r="B2" s="23">
        <f t="shared" ref="B2:B7" si="1">$S$2</f>
        <v>45945</v>
      </c>
      <c r="C2" s="24">
        <f t="shared" ref="C2:C21" si="2">$R$2</f>
        <v>45948</v>
      </c>
      <c r="D2" s="12" t="s">
        <v>62</v>
      </c>
      <c r="E2" s="9" t="s">
        <v>18</v>
      </c>
      <c r="F2" s="10"/>
      <c r="G2" s="16"/>
      <c r="H2" s="11"/>
      <c r="I2" s="11"/>
      <c r="J2" s="11"/>
      <c r="K2" s="11"/>
      <c r="L2" s="11"/>
      <c r="M2" s="11"/>
      <c r="N2" s="25" t="s">
        <v>63</v>
      </c>
      <c r="R2" s="26">
        <v>45948.0</v>
      </c>
      <c r="S2" s="27">
        <v>45945.0</v>
      </c>
    </row>
    <row r="3" ht="22.5" customHeight="1">
      <c r="A3" s="12" t="s">
        <v>64</v>
      </c>
      <c r="B3" s="23">
        <f t="shared" si="1"/>
        <v>45945</v>
      </c>
      <c r="C3" s="24">
        <f t="shared" si="2"/>
        <v>45948</v>
      </c>
      <c r="D3" s="12" t="s">
        <v>44</v>
      </c>
      <c r="E3" s="9" t="s">
        <v>18</v>
      </c>
      <c r="F3" s="10"/>
      <c r="G3" s="16"/>
      <c r="H3" s="18"/>
      <c r="I3" s="11"/>
      <c r="J3" s="11"/>
      <c r="K3" s="11"/>
      <c r="L3" s="11"/>
      <c r="M3" s="11"/>
      <c r="N3" s="28" t="s">
        <v>65</v>
      </c>
    </row>
    <row r="4" ht="22.5" customHeight="1">
      <c r="A4" s="12" t="s">
        <v>66</v>
      </c>
      <c r="B4" s="23">
        <f t="shared" si="1"/>
        <v>45945</v>
      </c>
      <c r="C4" s="24">
        <f t="shared" si="2"/>
        <v>45948</v>
      </c>
      <c r="D4" s="12" t="s">
        <v>67</v>
      </c>
      <c r="E4" s="9" t="s">
        <v>18</v>
      </c>
      <c r="F4" s="10"/>
      <c r="G4" s="16"/>
      <c r="H4" s="18"/>
      <c r="I4" s="11"/>
      <c r="J4" s="11"/>
      <c r="K4" s="11"/>
      <c r="L4" s="11"/>
      <c r="M4" s="11"/>
      <c r="N4" s="28" t="s">
        <v>68</v>
      </c>
    </row>
    <row r="5" ht="22.5" customHeight="1">
      <c r="A5" s="12" t="s">
        <v>69</v>
      </c>
      <c r="B5" s="23">
        <f t="shared" si="1"/>
        <v>45945</v>
      </c>
      <c r="C5" s="24">
        <f t="shared" si="2"/>
        <v>45948</v>
      </c>
      <c r="D5" s="12" t="s">
        <v>70</v>
      </c>
      <c r="E5" s="9" t="s">
        <v>18</v>
      </c>
      <c r="F5" s="10"/>
      <c r="G5" s="16"/>
      <c r="H5" s="18"/>
      <c r="I5" s="11"/>
      <c r="J5" s="11"/>
      <c r="K5" s="11"/>
      <c r="L5" s="11"/>
      <c r="M5" s="11"/>
      <c r="N5" s="25" t="s">
        <v>71</v>
      </c>
    </row>
    <row r="6" ht="22.5" customHeight="1">
      <c r="A6" s="12" t="s">
        <v>72</v>
      </c>
      <c r="B6" s="23">
        <f t="shared" si="1"/>
        <v>45945</v>
      </c>
      <c r="C6" s="24">
        <f t="shared" si="2"/>
        <v>45948</v>
      </c>
      <c r="D6" s="12" t="s">
        <v>62</v>
      </c>
      <c r="E6" s="9" t="s">
        <v>18</v>
      </c>
      <c r="F6" s="10"/>
      <c r="G6" s="16"/>
      <c r="H6" s="18"/>
      <c r="I6" s="11"/>
      <c r="J6" s="11"/>
      <c r="K6" s="11"/>
      <c r="L6" s="11"/>
      <c r="M6" s="11"/>
      <c r="N6" s="28" t="s">
        <v>73</v>
      </c>
    </row>
    <row r="7" ht="22.5" customHeight="1">
      <c r="A7" s="12" t="s">
        <v>74</v>
      </c>
      <c r="B7" s="23">
        <f t="shared" si="1"/>
        <v>45945</v>
      </c>
      <c r="C7" s="24">
        <f t="shared" si="2"/>
        <v>45948</v>
      </c>
      <c r="D7" s="12" t="s">
        <v>44</v>
      </c>
      <c r="E7" s="9" t="s">
        <v>18</v>
      </c>
      <c r="F7" s="10"/>
      <c r="G7" s="16"/>
      <c r="H7" s="18"/>
      <c r="I7" s="11"/>
      <c r="J7" s="11"/>
      <c r="K7" s="11"/>
      <c r="L7" s="11"/>
      <c r="M7" s="11"/>
      <c r="N7" s="29" t="s">
        <v>75</v>
      </c>
    </row>
    <row r="8" ht="22.5" customHeight="1">
      <c r="A8" s="12" t="s">
        <v>76</v>
      </c>
      <c r="B8" s="24">
        <v>45945.0</v>
      </c>
      <c r="C8" s="24">
        <f t="shared" si="2"/>
        <v>45948</v>
      </c>
      <c r="D8" s="12" t="s">
        <v>67</v>
      </c>
      <c r="E8" s="9" t="s">
        <v>18</v>
      </c>
      <c r="F8" s="10"/>
      <c r="G8" s="16"/>
      <c r="H8" s="18"/>
      <c r="I8" s="11"/>
      <c r="J8" s="11"/>
      <c r="K8" s="11"/>
      <c r="L8" s="11"/>
      <c r="M8" s="11"/>
      <c r="N8" s="29" t="s">
        <v>77</v>
      </c>
    </row>
    <row r="9" ht="22.5" customHeight="1">
      <c r="A9" s="12" t="s">
        <v>78</v>
      </c>
      <c r="B9" s="23">
        <f t="shared" ref="B9:B23" si="3">$S$2</f>
        <v>45945</v>
      </c>
      <c r="C9" s="24">
        <f t="shared" si="2"/>
        <v>45948</v>
      </c>
      <c r="D9" s="12" t="s">
        <v>70</v>
      </c>
      <c r="E9" s="9" t="s">
        <v>18</v>
      </c>
      <c r="F9" s="10"/>
      <c r="G9" s="16"/>
      <c r="H9" s="18"/>
      <c r="I9" s="11"/>
      <c r="J9" s="11"/>
      <c r="K9" s="11"/>
      <c r="L9" s="11"/>
      <c r="M9" s="11"/>
      <c r="N9" s="29" t="s">
        <v>79</v>
      </c>
    </row>
    <row r="10" ht="22.5" customHeight="1">
      <c r="A10" s="12" t="s">
        <v>80</v>
      </c>
      <c r="B10" s="23">
        <f t="shared" si="3"/>
        <v>45945</v>
      </c>
      <c r="C10" s="24">
        <f t="shared" si="2"/>
        <v>45948</v>
      </c>
      <c r="D10" s="12" t="s">
        <v>62</v>
      </c>
      <c r="E10" s="9" t="s">
        <v>18</v>
      </c>
      <c r="F10" s="10"/>
      <c r="G10" s="16"/>
      <c r="H10" s="18"/>
      <c r="I10" s="11"/>
      <c r="J10" s="11"/>
      <c r="K10" s="11"/>
      <c r="L10" s="11"/>
      <c r="M10" s="11"/>
      <c r="N10" s="29" t="s">
        <v>81</v>
      </c>
    </row>
    <row r="11" ht="22.5" customHeight="1">
      <c r="A11" s="12" t="s">
        <v>82</v>
      </c>
      <c r="B11" s="23">
        <f t="shared" si="3"/>
        <v>45945</v>
      </c>
      <c r="C11" s="24">
        <f t="shared" si="2"/>
        <v>45948</v>
      </c>
      <c r="D11" s="12" t="s">
        <v>44</v>
      </c>
      <c r="E11" s="9" t="s">
        <v>18</v>
      </c>
      <c r="F11" s="10"/>
      <c r="G11" s="16"/>
      <c r="H11" s="18"/>
      <c r="I11" s="11"/>
      <c r="J11" s="11"/>
      <c r="K11" s="11"/>
      <c r="L11" s="11"/>
      <c r="M11" s="11"/>
      <c r="N11" s="29" t="s">
        <v>83</v>
      </c>
    </row>
    <row r="12" ht="22.5" customHeight="1">
      <c r="A12" s="12" t="s">
        <v>84</v>
      </c>
      <c r="B12" s="23">
        <f t="shared" si="3"/>
        <v>45945</v>
      </c>
      <c r="C12" s="24">
        <f t="shared" si="2"/>
        <v>45948</v>
      </c>
      <c r="D12" s="12" t="s">
        <v>67</v>
      </c>
      <c r="E12" s="9" t="s">
        <v>18</v>
      </c>
      <c r="F12" s="10"/>
      <c r="G12" s="16"/>
      <c r="H12" s="18"/>
      <c r="I12" s="11"/>
      <c r="J12" s="11"/>
      <c r="K12" s="11"/>
      <c r="L12" s="11"/>
      <c r="M12" s="11"/>
      <c r="N12" s="28" t="s">
        <v>85</v>
      </c>
    </row>
    <row r="13" ht="22.5" customHeight="1">
      <c r="A13" s="12" t="s">
        <v>86</v>
      </c>
      <c r="B13" s="23">
        <f t="shared" si="3"/>
        <v>45945</v>
      </c>
      <c r="C13" s="24">
        <f t="shared" si="2"/>
        <v>45948</v>
      </c>
      <c r="D13" s="12" t="s">
        <v>70</v>
      </c>
      <c r="E13" s="9" t="s">
        <v>18</v>
      </c>
      <c r="F13" s="10"/>
      <c r="G13" s="16"/>
      <c r="H13" s="18"/>
      <c r="I13" s="11"/>
      <c r="J13" s="11"/>
      <c r="K13" s="11"/>
      <c r="L13" s="11"/>
      <c r="M13" s="11"/>
      <c r="N13" s="28" t="s">
        <v>87</v>
      </c>
    </row>
    <row r="14" ht="22.5" customHeight="1">
      <c r="A14" s="12" t="s">
        <v>88</v>
      </c>
      <c r="B14" s="23">
        <f t="shared" si="3"/>
        <v>45945</v>
      </c>
      <c r="C14" s="24">
        <f t="shared" si="2"/>
        <v>45948</v>
      </c>
      <c r="D14" s="12" t="s">
        <v>62</v>
      </c>
      <c r="E14" s="9" t="s">
        <v>18</v>
      </c>
      <c r="F14" s="10"/>
      <c r="G14" s="16"/>
      <c r="H14" s="18"/>
      <c r="I14" s="11"/>
      <c r="J14" s="11"/>
      <c r="K14" s="11"/>
      <c r="L14" s="11"/>
      <c r="M14" s="11"/>
      <c r="N14" s="28" t="s">
        <v>89</v>
      </c>
    </row>
    <row r="15" ht="22.5" customHeight="1">
      <c r="A15" s="12" t="s">
        <v>90</v>
      </c>
      <c r="B15" s="23">
        <f t="shared" si="3"/>
        <v>45945</v>
      </c>
      <c r="C15" s="24">
        <f t="shared" si="2"/>
        <v>45948</v>
      </c>
      <c r="D15" s="12" t="s">
        <v>44</v>
      </c>
      <c r="E15" s="9" t="s">
        <v>18</v>
      </c>
      <c r="F15" s="10"/>
      <c r="G15" s="16"/>
      <c r="H15" s="18"/>
      <c r="I15" s="11"/>
      <c r="J15" s="11"/>
      <c r="K15" s="11"/>
      <c r="L15" s="11"/>
      <c r="M15" s="11"/>
      <c r="N15" s="28" t="s">
        <v>91</v>
      </c>
    </row>
    <row r="16" ht="22.5" customHeight="1">
      <c r="A16" s="12" t="s">
        <v>92</v>
      </c>
      <c r="B16" s="23">
        <f t="shared" si="3"/>
        <v>45945</v>
      </c>
      <c r="C16" s="24">
        <f t="shared" si="2"/>
        <v>45948</v>
      </c>
      <c r="D16" s="12" t="s">
        <v>67</v>
      </c>
      <c r="E16" s="9" t="s">
        <v>18</v>
      </c>
      <c r="F16" s="10"/>
      <c r="G16" s="16"/>
      <c r="H16" s="18"/>
      <c r="I16" s="11"/>
      <c r="J16" s="11"/>
      <c r="K16" s="11"/>
      <c r="L16" s="11"/>
      <c r="M16" s="11"/>
      <c r="N16" s="28" t="s">
        <v>93</v>
      </c>
    </row>
    <row r="17" ht="22.5" customHeight="1">
      <c r="A17" s="12" t="s">
        <v>94</v>
      </c>
      <c r="B17" s="15">
        <f t="shared" si="3"/>
        <v>45945</v>
      </c>
      <c r="C17" s="24">
        <f t="shared" si="2"/>
        <v>45948</v>
      </c>
      <c r="D17" s="12" t="s">
        <v>70</v>
      </c>
      <c r="E17" s="9" t="s">
        <v>18</v>
      </c>
      <c r="F17" s="10"/>
      <c r="G17" s="16"/>
      <c r="H17" s="18"/>
      <c r="I17" s="11"/>
      <c r="J17" s="11"/>
      <c r="K17" s="11"/>
      <c r="L17" s="11"/>
      <c r="M17" s="11"/>
      <c r="N17" s="28" t="s">
        <v>95</v>
      </c>
    </row>
    <row r="18" ht="22.5" customHeight="1">
      <c r="A18" s="12" t="s">
        <v>96</v>
      </c>
      <c r="B18" s="15">
        <f t="shared" si="3"/>
        <v>45945</v>
      </c>
      <c r="C18" s="30">
        <f t="shared" si="2"/>
        <v>45948</v>
      </c>
      <c r="D18" s="12" t="s">
        <v>62</v>
      </c>
      <c r="E18" s="9" t="s">
        <v>18</v>
      </c>
      <c r="F18" s="10"/>
      <c r="G18" s="16"/>
      <c r="H18" s="18"/>
      <c r="I18" s="11"/>
      <c r="J18" s="11"/>
      <c r="K18" s="11"/>
      <c r="L18" s="11"/>
      <c r="M18" s="11"/>
      <c r="N18" s="28" t="s">
        <v>97</v>
      </c>
    </row>
    <row r="19" ht="22.5" customHeight="1">
      <c r="A19" s="12" t="s">
        <v>98</v>
      </c>
      <c r="B19" s="15">
        <f t="shared" si="3"/>
        <v>45945</v>
      </c>
      <c r="C19" s="30">
        <f t="shared" si="2"/>
        <v>45948</v>
      </c>
      <c r="D19" s="12" t="s">
        <v>44</v>
      </c>
      <c r="E19" s="9" t="s">
        <v>18</v>
      </c>
      <c r="F19" s="10"/>
      <c r="G19" s="16"/>
      <c r="H19" s="18"/>
      <c r="I19" s="11"/>
      <c r="J19" s="11"/>
      <c r="K19" s="11"/>
      <c r="L19" s="11"/>
      <c r="M19" s="11"/>
      <c r="N19" s="28" t="s">
        <v>99</v>
      </c>
    </row>
    <row r="20" ht="22.5" customHeight="1">
      <c r="A20" s="12" t="s">
        <v>100</v>
      </c>
      <c r="B20" s="15">
        <f t="shared" si="3"/>
        <v>45945</v>
      </c>
      <c r="C20" s="30">
        <f t="shared" si="2"/>
        <v>45948</v>
      </c>
      <c r="D20" s="12" t="s">
        <v>67</v>
      </c>
      <c r="E20" s="9" t="s">
        <v>18</v>
      </c>
      <c r="F20" s="10"/>
      <c r="G20" s="16"/>
      <c r="H20" s="18"/>
      <c r="I20" s="11"/>
      <c r="J20" s="11"/>
      <c r="K20" s="11"/>
      <c r="L20" s="11"/>
      <c r="M20" s="11"/>
      <c r="N20" s="28" t="s">
        <v>101</v>
      </c>
    </row>
    <row r="21" ht="22.5" customHeight="1">
      <c r="A21" s="12" t="s">
        <v>102</v>
      </c>
      <c r="B21" s="15">
        <f t="shared" si="3"/>
        <v>45945</v>
      </c>
      <c r="C21" s="30">
        <f t="shared" si="2"/>
        <v>45948</v>
      </c>
      <c r="D21" s="12" t="s">
        <v>70</v>
      </c>
      <c r="E21" s="9" t="s">
        <v>18</v>
      </c>
      <c r="F21" s="10"/>
      <c r="G21" s="16"/>
      <c r="H21" s="18"/>
      <c r="I21" s="11"/>
      <c r="J21" s="11"/>
      <c r="K21" s="11"/>
      <c r="L21" s="11"/>
      <c r="M21" s="11"/>
      <c r="N21" s="28" t="s">
        <v>103</v>
      </c>
    </row>
    <row r="22" ht="22.5" customHeight="1">
      <c r="A22" s="12" t="s">
        <v>104</v>
      </c>
      <c r="B22" s="15">
        <f t="shared" si="3"/>
        <v>45945</v>
      </c>
      <c r="C22" s="30">
        <v>45949.0</v>
      </c>
      <c r="D22" s="12" t="s">
        <v>70</v>
      </c>
      <c r="E22" s="9" t="s">
        <v>18</v>
      </c>
      <c r="F22" s="10"/>
      <c r="G22" s="13"/>
      <c r="H22" s="18"/>
      <c r="I22" s="11"/>
      <c r="J22" s="11"/>
      <c r="K22" s="11"/>
      <c r="L22" s="11"/>
      <c r="M22" s="11"/>
      <c r="N22" s="28" t="s">
        <v>105</v>
      </c>
    </row>
    <row r="23" ht="22.5" customHeight="1">
      <c r="A23" s="12" t="s">
        <v>106</v>
      </c>
      <c r="B23" s="15">
        <f t="shared" si="3"/>
        <v>45945</v>
      </c>
      <c r="C23" s="30">
        <v>45951.0</v>
      </c>
      <c r="D23" s="12" t="s">
        <v>44</v>
      </c>
      <c r="E23" s="9" t="s">
        <v>18</v>
      </c>
      <c r="F23" s="31"/>
      <c r="G23" s="16"/>
      <c r="H23" s="13"/>
      <c r="I23" s="11"/>
      <c r="J23" s="11"/>
      <c r="K23" s="11"/>
      <c r="L23" s="11"/>
      <c r="M23" s="11"/>
      <c r="N23" s="28"/>
    </row>
    <row r="24" ht="22.5" customHeight="1">
      <c r="A24" s="12" t="s">
        <v>107</v>
      </c>
      <c r="B24" s="30">
        <v>45978.0</v>
      </c>
      <c r="C24" s="30">
        <v>45985.0</v>
      </c>
      <c r="D24" s="12" t="s">
        <v>44</v>
      </c>
      <c r="E24" s="9" t="s">
        <v>18</v>
      </c>
      <c r="F24" s="31"/>
      <c r="G24" s="16"/>
      <c r="H24" s="18"/>
      <c r="I24" s="13"/>
      <c r="J24" s="11"/>
      <c r="K24" s="11"/>
      <c r="L24" s="11"/>
      <c r="M24" s="11"/>
      <c r="N24" s="28"/>
    </row>
    <row r="25" ht="22.5" customHeight="1">
      <c r="A25" s="12" t="s">
        <v>108</v>
      </c>
      <c r="B25" s="30">
        <v>45979.0</v>
      </c>
      <c r="C25" s="15">
        <v>45993.0</v>
      </c>
      <c r="D25" s="12" t="s">
        <v>109</v>
      </c>
      <c r="E25" s="9" t="s">
        <v>18</v>
      </c>
      <c r="F25" s="31"/>
      <c r="G25" s="16"/>
      <c r="H25" s="18"/>
      <c r="I25" s="11"/>
      <c r="J25" s="13"/>
      <c r="K25" s="11"/>
      <c r="L25" s="11"/>
      <c r="M25" s="11"/>
      <c r="N25" s="28"/>
    </row>
    <row r="26" ht="22.5" customHeight="1">
      <c r="A26" s="12" t="s">
        <v>110</v>
      </c>
      <c r="B26" s="30">
        <v>45989.0</v>
      </c>
      <c r="C26" s="15">
        <v>45994.0</v>
      </c>
      <c r="D26" s="12" t="s">
        <v>62</v>
      </c>
      <c r="E26" s="9" t="s">
        <v>18</v>
      </c>
      <c r="F26" s="31"/>
      <c r="G26" s="16"/>
      <c r="H26" s="18"/>
      <c r="I26" s="11"/>
      <c r="J26" s="11"/>
      <c r="K26" s="13"/>
      <c r="L26" s="11"/>
      <c r="M26" s="11"/>
      <c r="N26" s="28"/>
    </row>
    <row r="27" ht="22.5" customHeight="1">
      <c r="A27" s="12" t="s">
        <v>111</v>
      </c>
      <c r="B27" s="30">
        <v>45981.0</v>
      </c>
      <c r="C27" s="15">
        <v>45996.0</v>
      </c>
      <c r="D27" s="12" t="s">
        <v>44</v>
      </c>
      <c r="E27" s="9" t="s">
        <v>18</v>
      </c>
      <c r="F27" s="31"/>
      <c r="G27" s="16"/>
      <c r="H27" s="18"/>
      <c r="I27" s="11"/>
      <c r="J27" s="11"/>
      <c r="K27" s="11"/>
      <c r="L27" s="11"/>
      <c r="M27" s="13"/>
      <c r="N27" s="28"/>
    </row>
    <row r="28" ht="22.5" customHeight="1">
      <c r="A28" s="12" t="s">
        <v>112</v>
      </c>
      <c r="B28" s="30">
        <v>45986.0</v>
      </c>
      <c r="C28" s="15">
        <v>45995.0</v>
      </c>
      <c r="D28" s="12" t="s">
        <v>44</v>
      </c>
      <c r="E28" s="9" t="s">
        <v>18</v>
      </c>
      <c r="F28" s="31"/>
      <c r="G28" s="16"/>
      <c r="H28" s="18"/>
      <c r="I28" s="11"/>
      <c r="J28" s="11"/>
      <c r="K28" s="11"/>
      <c r="L28" s="13"/>
      <c r="M28" s="11"/>
      <c r="N28" s="28"/>
    </row>
    <row r="29" ht="22.5" customHeight="1">
      <c r="A29" s="12" t="s">
        <v>113</v>
      </c>
      <c r="B29" s="30">
        <v>45985.0</v>
      </c>
      <c r="C29" s="15">
        <v>45996.0</v>
      </c>
      <c r="D29" s="12" t="s">
        <v>62</v>
      </c>
      <c r="E29" s="9" t="s">
        <v>18</v>
      </c>
      <c r="F29" s="31"/>
      <c r="G29" s="16"/>
      <c r="H29" s="18"/>
      <c r="I29" s="11"/>
      <c r="J29" s="11"/>
      <c r="K29" s="11"/>
      <c r="L29" s="11"/>
      <c r="M29" s="13"/>
      <c r="N29" s="28"/>
    </row>
    <row r="32">
      <c r="D32" s="26"/>
    </row>
  </sheetData>
  <drawing r:id="rId1"/>
  <tableParts count="1">
    <tablePart r:id="rId3"/>
  </tableParts>
</worksheet>
</file>